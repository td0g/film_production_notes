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LMBC\Filming\2020-12-13 Choir\"/>
    </mc:Choice>
  </mc:AlternateContent>
  <xr:revisionPtr revIDLastSave="0" documentId="13_ncr:1_{ABAE66C7-F079-4FE9-A42F-7D4FED9B878C}" xr6:coauthVersionLast="45" xr6:coauthVersionMax="45" xr10:uidLastSave="{00000000-0000-0000-0000-000000000000}"/>
  <bookViews>
    <workbookView xWindow="-120" yWindow="-120" windowWidth="24240" windowHeight="17640" xr2:uid="{81FBCF8A-98CA-49D4-A208-331A48512A4A}"/>
  </bookViews>
  <sheets>
    <sheet name="Main" sheetId="1" r:id="rId1"/>
    <sheet name="INSTRUCTIONS" sheetId="4" r:id="rId2"/>
    <sheet name="TileConfig" sheetId="2" r:id="rId3"/>
    <sheet name="CustomFilters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" i="1" l="1"/>
  <c r="I1" i="2" l="1"/>
  <c r="B8" i="2" l="1"/>
  <c r="B5" i="2"/>
  <c r="B6" i="2"/>
  <c r="B2" i="2"/>
  <c r="G1" i="2"/>
  <c r="E1" i="2"/>
  <c r="B20" i="2" l="1"/>
  <c r="B16" i="2"/>
  <c r="B12" i="2"/>
  <c r="B4" i="2"/>
  <c r="B9" i="2"/>
  <c r="B19" i="2"/>
  <c r="B15" i="2"/>
  <c r="B11" i="2"/>
  <c r="B7" i="2"/>
  <c r="B3" i="2"/>
  <c r="B18" i="2"/>
  <c r="B14" i="2"/>
  <c r="B10" i="2"/>
  <c r="B17" i="2"/>
  <c r="B13" i="2"/>
</calcChain>
</file>

<file path=xl/sharedStrings.xml><?xml version="1.0" encoding="utf-8"?>
<sst xmlns="http://schemas.openxmlformats.org/spreadsheetml/2006/main" count="337" uniqueCount="196">
  <si>
    <t>Time END</t>
  </si>
  <si>
    <t>01</t>
  </si>
  <si>
    <t>012</t>
  </si>
  <si>
    <t>a</t>
  </si>
  <si>
    <t>b</t>
  </si>
  <si>
    <t>c</t>
  </si>
  <si>
    <t>d</t>
  </si>
  <si>
    <t>e</t>
  </si>
  <si>
    <t>f</t>
  </si>
  <si>
    <t>Output</t>
  </si>
  <si>
    <t>01.23</t>
  </si>
  <si>
    <t>Arrangement</t>
  </si>
  <si>
    <t>iw</t>
  </si>
  <si>
    <t>ih</t>
  </si>
  <si>
    <t>0123.4567.89ab</t>
  </si>
  <si>
    <t>g</t>
  </si>
  <si>
    <t>h</t>
  </si>
  <si>
    <t>i</t>
  </si>
  <si>
    <t>j</t>
  </si>
  <si>
    <t>012.345.678</t>
  </si>
  <si>
    <t>0123.4567.89ab.cdef</t>
  </si>
  <si>
    <t>Note</t>
  </si>
  <si>
    <t>MEN</t>
  </si>
  <si>
    <t>PIANO</t>
  </si>
  <si>
    <t>CropCentreX (0-1),(0.5)</t>
  </si>
  <si>
    <t>Filename</t>
  </si>
  <si>
    <t>Fade  In Time</t>
  </si>
  <si>
    <t>Fade Out Time</t>
  </si>
  <si>
    <t xml:space="preserve"> &lt;-- VIDEO START</t>
  </si>
  <si>
    <t>Input Width</t>
  </si>
  <si>
    <t>Input Height</t>
  </si>
  <si>
    <t>Output Width</t>
  </si>
  <si>
    <t>Output Height</t>
  </si>
  <si>
    <t>Working Folder</t>
  </si>
  <si>
    <t>Created by Tyler Gerritsen</t>
  </si>
  <si>
    <t>td0g.ca</t>
  </si>
  <si>
    <t>Changelog</t>
  </si>
  <si>
    <t>Version</t>
  </si>
  <si>
    <t>Date</t>
  </si>
  <si>
    <t>Instructions</t>
  </si>
  <si>
    <t>Copy or move all videos into a single folder</t>
  </si>
  <si>
    <t>Either move this spreadsheet into the folder and erase the 'Working Directory' cell, or enter the directory into the 'Working Directory' cell</t>
  </si>
  <si>
    <t>Complete the rest of the top row inputs in the Main sheet</t>
  </si>
  <si>
    <t>Create the video by entering the End Times and tile indeces in the Main sheet</t>
  </si>
  <si>
    <t>The indices are 0-indexed, start from the top left and go left row-by-row</t>
  </si>
  <si>
    <t>When ready, press Render to create the video</t>
  </si>
  <si>
    <t>Requirements</t>
  </si>
  <si>
    <t>FFMPEG</t>
  </si>
  <si>
    <t>PATH reference to FFMPEG</t>
  </si>
  <si>
    <t>scalestring</t>
  </si>
  <si>
    <t>silent night holy night</t>
  </si>
  <si>
    <t>all is calm</t>
  </si>
  <si>
    <t>Round yon virgin</t>
  </si>
  <si>
    <t xml:space="preserve">Holy infant so </t>
  </si>
  <si>
    <t>Sleep in heavenly</t>
  </si>
  <si>
    <t>Glories stream from</t>
  </si>
  <si>
    <t>Heavenly Hosts</t>
  </si>
  <si>
    <t>Christ the saviour is</t>
  </si>
  <si>
    <t>Son of God, Loves pure</t>
  </si>
  <si>
    <t>with the dawn of redeem</t>
  </si>
  <si>
    <t>Jesus Lord at thy birth</t>
  </si>
  <si>
    <t>Start Delay</t>
  </si>
  <si>
    <t>k</t>
  </si>
  <si>
    <t>l</t>
  </si>
  <si>
    <t>Time Limit (for Audio)</t>
  </si>
  <si>
    <t>m</t>
  </si>
  <si>
    <t>n</t>
  </si>
  <si>
    <t>Audio File</t>
  </si>
  <si>
    <t>o</t>
  </si>
  <si>
    <t>1:i</t>
  </si>
  <si>
    <t>1:o</t>
  </si>
  <si>
    <t>Filter</t>
  </si>
  <si>
    <t>1</t>
  </si>
  <si>
    <t>char (:[char])</t>
  </si>
  <si>
    <t>0:i</t>
  </si>
  <si>
    <t>0:o</t>
  </si>
  <si>
    <t>p</t>
  </si>
  <si>
    <t>q</t>
  </si>
  <si>
    <t>r</t>
  </si>
  <si>
    <t>s</t>
  </si>
  <si>
    <t>v</t>
  </si>
  <si>
    <t>t</t>
  </si>
  <si>
    <t>u</t>
  </si>
  <si>
    <t>w</t>
  </si>
  <si>
    <t>x</t>
  </si>
  <si>
    <t>y</t>
  </si>
  <si>
    <t>z</t>
  </si>
  <si>
    <t>2:o</t>
  </si>
  <si>
    <t>3:o</t>
  </si>
  <si>
    <t>TileLoc:CustomFilter</t>
  </si>
  <si>
    <t>Custom TileConfig</t>
  </si>
  <si>
    <t>LRR</t>
  </si>
  <si>
    <t>2:i</t>
  </si>
  <si>
    <t>3:i</t>
  </si>
  <si>
    <t>4:i</t>
  </si>
  <si>
    <t>5:i</t>
  </si>
  <si>
    <t>8:i</t>
  </si>
  <si>
    <t>0</t>
  </si>
  <si>
    <t>5</t>
  </si>
  <si>
    <t>2</t>
  </si>
  <si>
    <t>LLR</t>
  </si>
  <si>
    <t>Description</t>
  </si>
  <si>
    <t>Single Pane</t>
  </si>
  <si>
    <t>Two videos side-by-side</t>
  </si>
  <si>
    <t>Three panes side-by-side</t>
  </si>
  <si>
    <t>2x2 grid</t>
  </si>
  <si>
    <t>3x3 grid</t>
  </si>
  <si>
    <t>4 wide, 3 tall grid</t>
  </si>
  <si>
    <t>4x4 grid</t>
  </si>
  <si>
    <t>One video on left, two stacked on right</t>
  </si>
  <si>
    <t>Two videos stacked on left, one on right</t>
  </si>
  <si>
    <t>Kris</t>
  </si>
  <si>
    <t>0:io</t>
  </si>
  <si>
    <t>2nd vocalist</t>
  </si>
  <si>
    <t>3-pane</t>
  </si>
  <si>
    <t>1:io</t>
  </si>
  <si>
    <t>GERMAN</t>
  </si>
  <si>
    <t>FINAL</t>
  </si>
  <si>
    <t>(0123)4.56</t>
  </si>
  <si>
    <t>2x2 grid with TL in 2x2 grid (7 panes)</t>
  </si>
  <si>
    <t>0(1234).56</t>
  </si>
  <si>
    <t>2x2 grid with TR in 2x2 grid (7 panes)</t>
  </si>
  <si>
    <t>01.(2345)6</t>
  </si>
  <si>
    <t>2x2 grid with BL in 2x2 grid (7 panes)</t>
  </si>
  <si>
    <t>01.2(3456)</t>
  </si>
  <si>
    <t>2x2 grid with BR in 2x2 grid (7 panes)</t>
  </si>
  <si>
    <t>3:io</t>
  </si>
  <si>
    <t>3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</si>
  <si>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</si>
  <si>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</si>
  <si>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</si>
  <si>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</si>
  <si>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</si>
  <si>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</si>
  <si>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</si>
  <si>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</si>
  <si>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</si>
  <si>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</si>
  <si>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</si>
  <si>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</si>
  <si>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</si>
  <si>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</si>
  <si>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</si>
  <si>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</si>
  <si>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(0123)4.5(6789)</t>
  </si>
  <si>
    <t>2x2 grid with TL and BR in 2x2 grid (10 panes</t>
  </si>
  <si>
    <t>Two voc's waiting</t>
  </si>
  <si>
    <t>One voc waiting</t>
  </si>
  <si>
    <t>0(1234).(5678)9</t>
  </si>
  <si>
    <t>8</t>
  </si>
  <si>
    <t>Left half, TR corner, BR 2x2 (6 panes)</t>
  </si>
  <si>
    <t>L1.(2345)</t>
  </si>
  <si>
    <t>6</t>
  </si>
  <si>
    <t>7</t>
  </si>
  <si>
    <t>15</t>
  </si>
  <si>
    <t>14</t>
  </si>
  <si>
    <t>10</t>
  </si>
  <si>
    <t>11</t>
  </si>
  <si>
    <t>12:i</t>
  </si>
  <si>
    <t>13:i</t>
  </si>
  <si>
    <t>9:i</t>
  </si>
  <si>
    <t>0(1234).5(6789)</t>
  </si>
  <si>
    <t>Left cut in half, right into 8 (10 panes)</t>
  </si>
  <si>
    <t>(0123)4.(5678)9</t>
  </si>
  <si>
    <t>Left cut into 8, right in half (10 panes)</t>
  </si>
  <si>
    <t>L(1234).(5678)</t>
  </si>
  <si>
    <t>Left whole, right in 8 (9 panes)</t>
  </si>
  <si>
    <t>0.6</t>
  </si>
  <si>
    <t>Son of God</t>
  </si>
  <si>
    <t>Love's Pure Light</t>
  </si>
  <si>
    <t>Pian</t>
  </si>
  <si>
    <t>Linda</t>
  </si>
  <si>
    <t>Almost everyone</t>
  </si>
  <si>
    <t>Everyone</t>
  </si>
  <si>
    <t>Audio File Start Advance (&gt; Videostart)</t>
  </si>
  <si>
    <t>Global video filter</t>
  </si>
  <si>
    <t>fade=out:d=0.25:st={CLIPTIME+-0.25}</t>
  </si>
  <si>
    <t>Shepherds quake</t>
  </si>
  <si>
    <t>At the sight</t>
  </si>
  <si>
    <t>Silent Night - Mixdown.wav</t>
  </si>
  <si>
    <t>OutputFPS</t>
  </si>
  <si>
    <t>InputFPS</t>
  </si>
  <si>
    <t>Silent_Night_1080.mp4</t>
  </si>
  <si>
    <t>C:\Users\Tyler\Desktop\Silent Night\Full Res</t>
  </si>
  <si>
    <t>fade=in:st={CLIPSTART}:d=0.25</t>
  </si>
  <si>
    <t>T</t>
  </si>
  <si>
    <t>Type (T=transition)</t>
  </si>
  <si>
    <t>INSTRUCTIONS</t>
  </si>
  <si>
    <t>Here you can add special filters to individual panes</t>
  </si>
  <si>
    <t>This is most useful for transitions</t>
  </si>
  <si>
    <t>Each filter needs a single unique character</t>
  </si>
  <si>
    <t>The filter text is applied the the pane with FFMPEG</t>
  </si>
  <si>
    <t>Permitted variables: {CLIPTIME+x} {CLIPSTART+x}</t>
  </si>
  <si>
    <t>The Type tells this script whether the pane needs to be process separately or if it can be combined with previous and following panes</t>
  </si>
  <si>
    <t>FFMPEG command VIDEO</t>
  </si>
  <si>
    <t>Functional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</si>
</sst>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49" fontId="0" fillId="0" borderId="3" xfId="0" applyNumberFormat="1" applyBorder="1"/>
    <xf numFmtId="0" fontId="0" fillId="0" borderId="4" xfId="0" applyBorder="1"/>
    <xf numFmtId="0" fontId="2" fillId="2" borderId="0" xfId="0" applyFont="1" applyFill="1" applyAlignment="1">
      <alignment horizontal="center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4" borderId="0" xfId="0" applyFill="1"/>
    <xf numFmtId="0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0" xfId="0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49" fontId="0" fillId="0" borderId="1" xfId="0" applyNumberFormat="1" applyBorder="1"/>
    <xf numFmtId="0" fontId="2" fillId="2" borderId="3" xfId="0" applyFont="1" applyFill="1" applyBorder="1" applyAlignment="1">
      <alignment horizontal="left"/>
    </xf>
    <xf numFmtId="49" fontId="0" fillId="2" borderId="0" xfId="0" applyNumberFormat="1" applyFill="1"/>
    <xf numFmtId="49" fontId="2" fillId="2" borderId="0" xfId="0" applyNumberFormat="1" applyFont="1" applyFill="1" applyAlignment="1">
      <alignment horizontal="center"/>
    </xf>
    <xf numFmtId="0" fontId="0" fillId="0" borderId="7" xfId="0" applyFill="1" applyBorder="1"/>
    <xf numFmtId="49" fontId="0" fillId="0" borderId="1" xfId="0" applyNumberFormat="1" applyFill="1" applyBorder="1"/>
    <xf numFmtId="0" fontId="4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right"/>
    </xf>
    <xf numFmtId="0" fontId="0" fillId="2" borderId="0" xfId="0" applyFill="1" applyAlignment="1">
      <alignment horizontal="center"/>
    </xf>
    <xf numFmtId="0" fontId="3" fillId="2" borderId="6" xfId="0" applyFont="1" applyFill="1" applyBorder="1" applyAlignment="1">
      <alignment horizontal="center" wrapText="1"/>
    </xf>
    <xf numFmtId="0" fontId="3" fillId="2" borderId="5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142875</xdr:colOff>
          <xdr:row>0</xdr:row>
          <xdr:rowOff>104775</xdr:rowOff>
        </xdr:from>
        <xdr:to>
          <xdr:col>24</xdr:col>
          <xdr:colOff>485775</xdr:colOff>
          <xdr:row>0</xdr:row>
          <xdr:rowOff>533400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848C-D87B-449A-87CB-BE1FEA1A834C}">
  <sheetPr codeName="Sheet1"/>
  <dimension ref="A1:AS48"/>
  <sheetViews>
    <sheetView tabSelected="1" workbookViewId="0">
      <pane xSplit="2" ySplit="8" topLeftCell="C9" activePane="bottomRight" state="frozen"/>
      <selection pane="topRight" activeCell="C1" sqref="C1"/>
      <selection pane="bottomLeft" activeCell="A8" sqref="A8"/>
      <selection pane="bottomRight" activeCell="G14" sqref="G14"/>
    </sheetView>
  </sheetViews>
  <sheetFormatPr defaultRowHeight="15" x14ac:dyDescent="0.25"/>
  <cols>
    <col min="2" max="2" width="17.140625" customWidth="1"/>
    <col min="3" max="3" width="11.140625" style="22" customWidth="1"/>
    <col min="26" max="29" width="9.140625" style="22"/>
    <col min="31" max="31" width="8.85546875" style="1"/>
  </cols>
  <sheetData>
    <row r="1" spans="1:45" s="4" customFormat="1" ht="46.15" customHeight="1" thickBot="1" x14ac:dyDescent="0.3">
      <c r="A1" s="17" t="s">
        <v>33</v>
      </c>
      <c r="B1" s="25" t="s">
        <v>183</v>
      </c>
      <c r="C1" s="17" t="s">
        <v>9</v>
      </c>
      <c r="D1" s="5" t="s">
        <v>182</v>
      </c>
      <c r="E1" s="17" t="s">
        <v>29</v>
      </c>
      <c r="F1" s="5">
        <v>1920</v>
      </c>
      <c r="G1" s="17" t="s">
        <v>30</v>
      </c>
      <c r="H1" s="5">
        <v>1080</v>
      </c>
      <c r="I1" s="17" t="s">
        <v>31</v>
      </c>
      <c r="J1" s="5">
        <v>1920</v>
      </c>
      <c r="K1" s="17" t="s">
        <v>32</v>
      </c>
      <c r="L1" s="5">
        <v>1080</v>
      </c>
      <c r="M1" s="17" t="s">
        <v>67</v>
      </c>
      <c r="N1" s="25" t="s">
        <v>179</v>
      </c>
      <c r="O1" s="17" t="s">
        <v>26</v>
      </c>
      <c r="P1" s="5">
        <v>0.8</v>
      </c>
      <c r="Q1" s="17" t="s">
        <v>27</v>
      </c>
      <c r="R1" s="5">
        <v>0.5</v>
      </c>
      <c r="S1" s="33" t="s">
        <v>174</v>
      </c>
      <c r="T1" s="5">
        <v>0.9</v>
      </c>
      <c r="U1" s="17" t="s">
        <v>175</v>
      </c>
      <c r="V1" s="25" t="str">
        <f>"drawtext=fontfile=Arial.ttf:text=" &amp; CHAR(34) &amp; "%%" &amp; CHAR(34) &amp; "{n}:x=10:y=10:fontcolor=white:fontsize=80"</f>
        <v>drawtext=fontfile=Arial.ttf:text="%%"{n}:x=10:y=10:fontcolor=white:fontsize=80</v>
      </c>
      <c r="AA1" s="4" t="s">
        <v>180</v>
      </c>
      <c r="AB1" s="25">
        <v>29.97</v>
      </c>
      <c r="AC1" s="4" t="s">
        <v>181</v>
      </c>
      <c r="AD1" s="25">
        <v>29.97</v>
      </c>
      <c r="AE1" s="6"/>
    </row>
    <row r="2" spans="1:45" ht="15.75" thickBot="1" x14ac:dyDescent="0.3">
      <c r="A2" s="13"/>
      <c r="B2" s="14" t="s">
        <v>21</v>
      </c>
      <c r="C2" s="14"/>
      <c r="D2" s="9" t="s">
        <v>23</v>
      </c>
      <c r="E2" s="9"/>
      <c r="F2" s="9"/>
      <c r="G2" s="9"/>
      <c r="H2" s="9"/>
      <c r="I2" s="9" t="s">
        <v>22</v>
      </c>
      <c r="J2" s="9"/>
      <c r="K2" s="9" t="s">
        <v>22</v>
      </c>
      <c r="L2" s="9"/>
      <c r="M2" s="9"/>
      <c r="N2" s="9"/>
      <c r="O2" s="9" t="s">
        <v>22</v>
      </c>
      <c r="P2" s="9"/>
      <c r="Q2" s="9"/>
      <c r="R2" s="9"/>
      <c r="S2" s="9"/>
      <c r="T2" s="9"/>
      <c r="U2" s="9" t="s">
        <v>22</v>
      </c>
      <c r="V2" s="9" t="s">
        <v>116</v>
      </c>
      <c r="W2" s="9" t="s">
        <v>116</v>
      </c>
      <c r="X2" s="9" t="s">
        <v>116</v>
      </c>
      <c r="Y2" s="9" t="s">
        <v>116</v>
      </c>
      <c r="Z2" s="9" t="s">
        <v>116</v>
      </c>
      <c r="AA2" s="9" t="s">
        <v>116</v>
      </c>
      <c r="AB2" s="9"/>
      <c r="AC2" s="9"/>
      <c r="AD2" s="9" t="s">
        <v>117</v>
      </c>
      <c r="AE2" s="9" t="s">
        <v>117</v>
      </c>
      <c r="AF2" s="9" t="s">
        <v>117</v>
      </c>
      <c r="AG2" s="9" t="s">
        <v>117</v>
      </c>
      <c r="AH2" s="9" t="s">
        <v>117</v>
      </c>
      <c r="AI2" s="9" t="s">
        <v>117</v>
      </c>
      <c r="AJ2" s="9" t="s">
        <v>117</v>
      </c>
      <c r="AK2" s="9" t="s">
        <v>117</v>
      </c>
      <c r="AL2" s="9" t="s">
        <v>117</v>
      </c>
      <c r="AM2" s="9" t="s">
        <v>117</v>
      </c>
      <c r="AN2" s="9" t="s">
        <v>117</v>
      </c>
      <c r="AO2" s="9" t="s">
        <v>117</v>
      </c>
      <c r="AP2" s="9" t="s">
        <v>117</v>
      </c>
      <c r="AQ2" s="9" t="s">
        <v>117</v>
      </c>
      <c r="AR2" s="9" t="s">
        <v>117</v>
      </c>
      <c r="AS2" s="9" t="s">
        <v>117</v>
      </c>
    </row>
    <row r="3" spans="1:45" ht="15.75" thickBot="1" x14ac:dyDescent="0.3">
      <c r="A3" s="13"/>
      <c r="B3" s="14" t="s">
        <v>25</v>
      </c>
      <c r="C3" s="14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11"/>
    </row>
    <row r="4" spans="1:45" s="22" customFormat="1" ht="15.75" thickBot="1" x14ac:dyDescent="0.3">
      <c r="A4" s="13"/>
      <c r="B4" s="14" t="s">
        <v>61</v>
      </c>
      <c r="C4" s="14"/>
      <c r="D4" s="9">
        <v>36</v>
      </c>
      <c r="E4" s="9">
        <v>36</v>
      </c>
      <c r="F4" s="9">
        <v>36</v>
      </c>
      <c r="G4" s="9">
        <v>36</v>
      </c>
      <c r="H4" s="9">
        <v>36</v>
      </c>
      <c r="I4" s="9">
        <v>36</v>
      </c>
      <c r="J4" s="9">
        <v>36.08</v>
      </c>
      <c r="K4" s="9">
        <v>36.08</v>
      </c>
      <c r="L4" s="9">
        <v>36.08</v>
      </c>
      <c r="M4" s="9">
        <v>36.08</v>
      </c>
      <c r="N4" s="9">
        <v>36.08</v>
      </c>
      <c r="O4" s="9">
        <v>36.08</v>
      </c>
      <c r="P4" s="9">
        <v>36.08</v>
      </c>
      <c r="Q4" s="9">
        <v>36.08</v>
      </c>
      <c r="R4" s="9">
        <v>36.08</v>
      </c>
      <c r="S4" s="9">
        <v>36.08</v>
      </c>
      <c r="T4" s="9">
        <v>36.08</v>
      </c>
      <c r="U4" s="9">
        <v>36.08</v>
      </c>
      <c r="V4" s="10"/>
      <c r="W4" s="9"/>
      <c r="X4" s="9"/>
      <c r="Y4" s="9"/>
      <c r="Z4" s="9"/>
      <c r="AA4" s="9"/>
      <c r="AB4" s="9">
        <v>145.69999999999999</v>
      </c>
      <c r="AC4" s="9">
        <v>145.69999999999999</v>
      </c>
      <c r="AD4" s="9">
        <v>145.69999999999999</v>
      </c>
      <c r="AE4" s="9">
        <v>145.69999999999999</v>
      </c>
      <c r="AF4" s="9">
        <v>145.69999999999999</v>
      </c>
      <c r="AG4" s="9">
        <v>145.69999999999999</v>
      </c>
      <c r="AH4" s="9">
        <v>145.69999999999999</v>
      </c>
      <c r="AI4" s="9">
        <v>145.69999999999999</v>
      </c>
      <c r="AJ4" s="9">
        <v>145.69999999999999</v>
      </c>
      <c r="AK4" s="9">
        <v>145.69999999999999</v>
      </c>
      <c r="AL4" s="9">
        <v>145.69999999999999</v>
      </c>
      <c r="AM4" s="9">
        <v>145.69999999999999</v>
      </c>
      <c r="AN4" s="9">
        <v>145.69999999999999</v>
      </c>
      <c r="AO4" s="9">
        <v>145.69999999999999</v>
      </c>
      <c r="AP4" s="9">
        <v>145.69999999999999</v>
      </c>
      <c r="AQ4" s="9">
        <v>145.69999999999999</v>
      </c>
      <c r="AR4" s="9">
        <v>145.69999999999999</v>
      </c>
      <c r="AS4" s="9">
        <v>145.69999999999999</v>
      </c>
    </row>
    <row r="5" spans="1:45" s="22" customFormat="1" ht="15.75" thickBot="1" x14ac:dyDescent="0.3">
      <c r="A5" s="13"/>
      <c r="B5" s="14" t="s">
        <v>64</v>
      </c>
      <c r="C5" s="14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0"/>
      <c r="W5" s="9"/>
      <c r="X5" s="9"/>
      <c r="Y5" s="9"/>
      <c r="Z5" s="9"/>
      <c r="AA5" s="9"/>
      <c r="AB5" s="9"/>
      <c r="AC5" s="9"/>
      <c r="AD5" s="9"/>
      <c r="AE5" s="10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11"/>
    </row>
    <row r="6" spans="1:45" ht="15.75" thickBot="1" x14ac:dyDescent="0.3">
      <c r="A6" s="13"/>
      <c r="B6" s="14" t="s">
        <v>24</v>
      </c>
      <c r="C6" s="14"/>
      <c r="D6" s="9"/>
      <c r="E6" s="9">
        <v>0.35</v>
      </c>
      <c r="F6" s="9">
        <v>0.35</v>
      </c>
      <c r="G6" s="9"/>
      <c r="H6" s="9">
        <v>0.35</v>
      </c>
      <c r="I6" s="9"/>
      <c r="J6" s="9">
        <v>0.6</v>
      </c>
      <c r="K6" s="9"/>
      <c r="L6" s="9"/>
      <c r="M6" s="9"/>
      <c r="N6" s="9"/>
      <c r="O6" s="9">
        <v>0.25</v>
      </c>
      <c r="P6" s="9">
        <v>0.75</v>
      </c>
      <c r="Q6" s="9"/>
      <c r="R6" s="9">
        <v>0.65</v>
      </c>
      <c r="S6" s="9"/>
      <c r="T6" s="9"/>
      <c r="U6" s="9"/>
      <c r="V6" s="10" t="s">
        <v>167</v>
      </c>
      <c r="W6" s="9"/>
      <c r="X6" s="9"/>
      <c r="Y6" s="9"/>
      <c r="Z6" s="9"/>
      <c r="AA6" s="9"/>
      <c r="AB6" s="9"/>
      <c r="AC6" s="9"/>
      <c r="AD6" s="9"/>
      <c r="AE6" s="10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11"/>
    </row>
    <row r="7" spans="1:45" ht="15.75" thickBot="1" x14ac:dyDescent="0.3">
      <c r="A7" s="15" t="s">
        <v>0</v>
      </c>
      <c r="B7" s="16" t="s">
        <v>21</v>
      </c>
      <c r="C7" s="36" t="s">
        <v>90</v>
      </c>
      <c r="D7" s="35" t="s">
        <v>89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21"/>
      <c r="AA7" s="21"/>
      <c r="AB7" s="26"/>
      <c r="AC7" s="26"/>
      <c r="AD7" s="15"/>
      <c r="AE7" s="29"/>
      <c r="AF7" s="29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</row>
    <row r="8" spans="1:45" ht="15.75" thickBot="1" x14ac:dyDescent="0.3">
      <c r="A8" s="8">
        <v>2.2000000000000002</v>
      </c>
      <c r="B8" s="28" t="s">
        <v>28</v>
      </c>
      <c r="C8" s="37"/>
      <c r="D8" s="12" t="s">
        <v>3</v>
      </c>
      <c r="E8" s="12" t="s">
        <v>4</v>
      </c>
      <c r="F8" s="12" t="s">
        <v>5</v>
      </c>
      <c r="G8" s="12" t="s">
        <v>6</v>
      </c>
      <c r="H8" s="12" t="s">
        <v>7</v>
      </c>
      <c r="I8" s="12" t="s">
        <v>8</v>
      </c>
      <c r="J8" s="12" t="s">
        <v>15</v>
      </c>
      <c r="K8" s="12" t="s">
        <v>16</v>
      </c>
      <c r="L8" s="12" t="s">
        <v>17</v>
      </c>
      <c r="M8" s="12" t="s">
        <v>18</v>
      </c>
      <c r="N8" s="12" t="s">
        <v>62</v>
      </c>
      <c r="O8" s="12" t="s">
        <v>63</v>
      </c>
      <c r="P8" s="12" t="s">
        <v>65</v>
      </c>
      <c r="Q8" s="12" t="s">
        <v>66</v>
      </c>
      <c r="R8" s="12" t="s">
        <v>68</v>
      </c>
      <c r="S8" s="12" t="s">
        <v>76</v>
      </c>
      <c r="T8" s="12" t="s">
        <v>77</v>
      </c>
      <c r="U8" s="12" t="s">
        <v>78</v>
      </c>
      <c r="V8" s="12" t="s">
        <v>79</v>
      </c>
      <c r="W8" s="12" t="s">
        <v>81</v>
      </c>
      <c r="X8" s="12" t="s">
        <v>82</v>
      </c>
      <c r="Y8" s="12" t="s">
        <v>80</v>
      </c>
      <c r="Z8" s="12" t="s">
        <v>83</v>
      </c>
      <c r="AA8" s="12" t="s">
        <v>84</v>
      </c>
      <c r="AB8" s="12" t="s">
        <v>85</v>
      </c>
      <c r="AC8" s="12" t="s">
        <v>86</v>
      </c>
      <c r="AD8" s="12" t="s">
        <v>128</v>
      </c>
      <c r="AE8" s="30" t="s">
        <v>129</v>
      </c>
      <c r="AF8" s="12" t="s">
        <v>130</v>
      </c>
      <c r="AG8" s="12" t="s">
        <v>131</v>
      </c>
      <c r="AH8" s="12" t="s">
        <v>132</v>
      </c>
      <c r="AI8" s="12" t="s">
        <v>133</v>
      </c>
      <c r="AJ8" s="12" t="s">
        <v>134</v>
      </c>
      <c r="AK8" s="12" t="s">
        <v>135</v>
      </c>
      <c r="AL8" s="12" t="s">
        <v>136</v>
      </c>
      <c r="AM8" s="12" t="s">
        <v>137</v>
      </c>
      <c r="AN8" s="12" t="s">
        <v>138</v>
      </c>
      <c r="AO8" s="12" t="s">
        <v>139</v>
      </c>
      <c r="AP8" s="12" t="s">
        <v>140</v>
      </c>
      <c r="AQ8" s="12" t="s">
        <v>141</v>
      </c>
      <c r="AR8" s="12" t="s">
        <v>142</v>
      </c>
      <c r="AS8" s="12" t="s">
        <v>143</v>
      </c>
    </row>
    <row r="9" spans="1:45" x14ac:dyDescent="0.25">
      <c r="A9" s="2">
        <v>13</v>
      </c>
      <c r="B9" s="34" t="s">
        <v>170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 t="s">
        <v>70</v>
      </c>
      <c r="X9" s="27">
        <v>0</v>
      </c>
      <c r="Y9" s="27"/>
      <c r="Z9" s="27"/>
      <c r="AA9" s="27"/>
      <c r="AB9" s="32"/>
      <c r="AC9" s="32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</row>
    <row r="10" spans="1:45" s="22" customFormat="1" x14ac:dyDescent="0.25">
      <c r="A10" s="2">
        <v>21</v>
      </c>
      <c r="B10" s="22" t="s">
        <v>171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 t="s">
        <v>69</v>
      </c>
      <c r="W10" s="27"/>
      <c r="X10" s="27" t="s">
        <v>75</v>
      </c>
      <c r="Y10" s="27"/>
      <c r="Z10" s="27"/>
      <c r="AA10" s="27"/>
      <c r="AB10" s="32"/>
      <c r="AC10" s="32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</row>
    <row r="11" spans="1:45" x14ac:dyDescent="0.25">
      <c r="A11" s="2">
        <v>26.8</v>
      </c>
      <c r="B11" s="22" t="s">
        <v>114</v>
      </c>
      <c r="C11" s="22" t="s">
        <v>100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 t="s">
        <v>99</v>
      </c>
      <c r="W11" s="27" t="s">
        <v>69</v>
      </c>
      <c r="X11" s="27" t="s">
        <v>112</v>
      </c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</row>
    <row r="12" spans="1:45" s="22" customFormat="1" x14ac:dyDescent="0.25">
      <c r="A12" s="2">
        <v>39.1</v>
      </c>
      <c r="B12" s="22" t="s">
        <v>113</v>
      </c>
      <c r="C12" s="22" t="s">
        <v>100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 t="s">
        <v>99</v>
      </c>
      <c r="W12" s="27" t="s">
        <v>70</v>
      </c>
      <c r="X12" s="27"/>
      <c r="Y12" s="27"/>
      <c r="Z12" s="27" t="s">
        <v>74</v>
      </c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</row>
    <row r="13" spans="1:45" s="22" customFormat="1" x14ac:dyDescent="0.25">
      <c r="A13" s="2">
        <v>44.7</v>
      </c>
      <c r="B13" s="22" t="s">
        <v>111</v>
      </c>
      <c r="C13" s="22" t="s">
        <v>100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 t="s">
        <v>99</v>
      </c>
      <c r="W13" s="27"/>
      <c r="X13" s="27"/>
      <c r="Y13" s="27" t="s">
        <v>115</v>
      </c>
      <c r="Z13" s="27" t="s">
        <v>97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</row>
    <row r="14" spans="1:45" s="22" customFormat="1" x14ac:dyDescent="0.25">
      <c r="A14" s="2">
        <v>45.2</v>
      </c>
      <c r="B14" s="22" t="s">
        <v>147</v>
      </c>
      <c r="C14" s="22" t="s">
        <v>100</v>
      </c>
      <c r="D14" s="27"/>
      <c r="E14" s="27"/>
      <c r="F14" s="27"/>
      <c r="G14" s="27" t="s">
        <v>69</v>
      </c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 t="s">
        <v>99</v>
      </c>
      <c r="W14" s="27"/>
      <c r="X14" s="27"/>
      <c r="Y14" s="27"/>
      <c r="Z14" s="27" t="s">
        <v>75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</row>
    <row r="15" spans="1:45" x14ac:dyDescent="0.25">
      <c r="A15" s="2">
        <v>49.3</v>
      </c>
      <c r="B15" s="22" t="s">
        <v>146</v>
      </c>
      <c r="C15" s="22" t="s">
        <v>100</v>
      </c>
      <c r="D15" s="27"/>
      <c r="E15" s="27"/>
      <c r="F15" s="27" t="s">
        <v>74</v>
      </c>
      <c r="G15" s="27" t="s">
        <v>72</v>
      </c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 t="s">
        <v>87</v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</row>
    <row r="16" spans="1:45" x14ac:dyDescent="0.25">
      <c r="A16" s="2">
        <v>57.3</v>
      </c>
      <c r="B16" s="22" t="s">
        <v>50</v>
      </c>
      <c r="D16" s="27"/>
      <c r="E16" s="27"/>
      <c r="F16" s="27" t="s">
        <v>75</v>
      </c>
      <c r="G16" s="27" t="s">
        <v>99</v>
      </c>
      <c r="H16" s="27"/>
      <c r="I16" s="27"/>
      <c r="J16" s="27"/>
      <c r="K16" s="27"/>
      <c r="L16" s="27"/>
      <c r="M16" s="27"/>
      <c r="N16" s="27" t="s">
        <v>69</v>
      </c>
      <c r="O16" s="27"/>
      <c r="P16" s="27"/>
      <c r="Q16" s="27"/>
      <c r="R16" s="27" t="s">
        <v>126</v>
      </c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</row>
    <row r="17" spans="1:45" x14ac:dyDescent="0.25">
      <c r="A17" s="2">
        <v>63.2</v>
      </c>
      <c r="B17" s="22" t="s">
        <v>51</v>
      </c>
      <c r="D17" s="27"/>
      <c r="E17" s="27"/>
      <c r="F17" s="27"/>
      <c r="G17" s="27" t="s">
        <v>87</v>
      </c>
      <c r="H17" s="27"/>
      <c r="I17" s="27"/>
      <c r="J17" s="27"/>
      <c r="K17" s="27"/>
      <c r="L17" s="27" t="s">
        <v>93</v>
      </c>
      <c r="M17" s="27"/>
      <c r="N17" s="27" t="s">
        <v>70</v>
      </c>
      <c r="O17" s="27"/>
      <c r="P17" s="27"/>
      <c r="Q17" s="27" t="s">
        <v>74</v>
      </c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</row>
    <row r="18" spans="1:45" x14ac:dyDescent="0.25">
      <c r="A18" s="31">
        <v>69</v>
      </c>
      <c r="B18" s="22" t="s">
        <v>52</v>
      </c>
      <c r="D18" s="27"/>
      <c r="E18" s="27"/>
      <c r="F18" s="27"/>
      <c r="G18" s="27"/>
      <c r="H18" s="27"/>
      <c r="I18" s="27"/>
      <c r="J18" s="27"/>
      <c r="K18" s="27" t="s">
        <v>92</v>
      </c>
      <c r="L18" s="27" t="s">
        <v>127</v>
      </c>
      <c r="M18" s="27"/>
      <c r="N18" s="27"/>
      <c r="O18" s="27"/>
      <c r="P18" s="27"/>
      <c r="Q18" s="27" t="s">
        <v>97</v>
      </c>
      <c r="R18" s="27"/>
      <c r="S18" s="27"/>
      <c r="T18" s="27" t="s">
        <v>69</v>
      </c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</row>
    <row r="19" spans="1:45" s="22" customFormat="1" x14ac:dyDescent="0.25">
      <c r="A19" s="2">
        <v>75</v>
      </c>
      <c r="B19" s="22" t="s">
        <v>53</v>
      </c>
      <c r="D19" s="27"/>
      <c r="E19" s="27"/>
      <c r="F19" s="27"/>
      <c r="G19" s="27"/>
      <c r="H19" s="27"/>
      <c r="I19" s="27"/>
      <c r="J19" s="27"/>
      <c r="K19" s="27" t="s">
        <v>99</v>
      </c>
      <c r="L19" s="27" t="s">
        <v>88</v>
      </c>
      <c r="M19" s="27"/>
      <c r="N19" s="27"/>
      <c r="O19" s="27"/>
      <c r="P19" s="27"/>
      <c r="Q19" s="27" t="s">
        <v>75</v>
      </c>
      <c r="R19" s="27"/>
      <c r="S19" s="27"/>
      <c r="T19" s="27" t="s">
        <v>72</v>
      </c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</row>
    <row r="20" spans="1:45" x14ac:dyDescent="0.25">
      <c r="A20" s="2">
        <v>81.2</v>
      </c>
      <c r="B20" s="22" t="s">
        <v>54</v>
      </c>
      <c r="D20" s="27"/>
      <c r="E20" s="27" t="s">
        <v>112</v>
      </c>
      <c r="F20" s="27" t="s">
        <v>93</v>
      </c>
      <c r="G20" s="27"/>
      <c r="H20" s="27"/>
      <c r="I20" s="27"/>
      <c r="J20" s="27"/>
      <c r="K20" s="27" t="s">
        <v>87</v>
      </c>
      <c r="L20" s="27"/>
      <c r="M20" s="27"/>
      <c r="N20" s="27"/>
      <c r="O20" s="27"/>
      <c r="P20" s="27"/>
      <c r="Q20" s="27"/>
      <c r="R20" s="27"/>
      <c r="S20" s="27"/>
      <c r="T20" s="27" t="s">
        <v>72</v>
      </c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</row>
    <row r="21" spans="1:45" x14ac:dyDescent="0.25">
      <c r="A21" s="2">
        <v>87</v>
      </c>
      <c r="B21" s="22" t="s">
        <v>54</v>
      </c>
      <c r="C21" s="22" t="s">
        <v>91</v>
      </c>
      <c r="D21" s="27"/>
      <c r="E21" s="27"/>
      <c r="F21" s="27" t="s">
        <v>99</v>
      </c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 t="s">
        <v>72</v>
      </c>
      <c r="U21" s="27" t="s">
        <v>74</v>
      </c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</row>
    <row r="22" spans="1:45" x14ac:dyDescent="0.25">
      <c r="A22" s="2">
        <v>93.6</v>
      </c>
      <c r="B22" s="22" t="s">
        <v>50</v>
      </c>
      <c r="C22" s="22" t="s">
        <v>91</v>
      </c>
      <c r="D22" s="27"/>
      <c r="E22" s="27"/>
      <c r="F22" s="1">
        <v>2</v>
      </c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 t="s">
        <v>70</v>
      </c>
      <c r="U22" s="27" t="s">
        <v>97</v>
      </c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</row>
    <row r="23" spans="1:45" s="22" customFormat="1" x14ac:dyDescent="0.25">
      <c r="A23" s="2">
        <v>96.8</v>
      </c>
      <c r="B23" s="22" t="s">
        <v>177</v>
      </c>
      <c r="C23" s="22" t="s">
        <v>91</v>
      </c>
      <c r="D23" s="27"/>
      <c r="E23" s="27"/>
      <c r="F23" s="1" t="s">
        <v>87</v>
      </c>
      <c r="G23" s="27"/>
      <c r="H23" s="27"/>
      <c r="I23" s="27"/>
      <c r="J23" s="27" t="s">
        <v>69</v>
      </c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 t="s">
        <v>97</v>
      </c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</row>
    <row r="24" spans="1:45" x14ac:dyDescent="0.25">
      <c r="A24" s="2">
        <v>99.6</v>
      </c>
      <c r="B24" s="22" t="s">
        <v>178</v>
      </c>
      <c r="C24" s="22" t="s">
        <v>91</v>
      </c>
      <c r="D24" s="27"/>
      <c r="E24" s="27"/>
      <c r="F24" s="27"/>
      <c r="G24" s="27"/>
      <c r="H24" s="27"/>
      <c r="I24" s="27"/>
      <c r="J24" s="27" t="s">
        <v>72</v>
      </c>
      <c r="K24" s="27"/>
      <c r="L24" s="27"/>
      <c r="M24" s="27"/>
      <c r="N24" s="27"/>
      <c r="O24" s="27" t="s">
        <v>92</v>
      </c>
      <c r="P24" s="27"/>
      <c r="Q24" s="27"/>
      <c r="R24" s="27"/>
      <c r="S24" s="27"/>
      <c r="T24" s="27"/>
      <c r="U24" s="27" t="s">
        <v>75</v>
      </c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</row>
    <row r="25" spans="1:45" x14ac:dyDescent="0.25">
      <c r="A25" s="2">
        <v>105.5</v>
      </c>
      <c r="B25" s="22" t="s">
        <v>55</v>
      </c>
      <c r="D25" s="27"/>
      <c r="E25" s="27"/>
      <c r="F25" s="27"/>
      <c r="G25" s="27"/>
      <c r="H25" s="27"/>
      <c r="I25" s="27"/>
      <c r="J25" s="27" t="s">
        <v>72</v>
      </c>
      <c r="K25" s="27"/>
      <c r="L25" s="27"/>
      <c r="M25" s="27"/>
      <c r="N25" s="27" t="s">
        <v>74</v>
      </c>
      <c r="O25" s="27" t="s">
        <v>127</v>
      </c>
      <c r="P25" s="27" t="s">
        <v>92</v>
      </c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</row>
    <row r="26" spans="1:45" x14ac:dyDescent="0.25">
      <c r="A26" s="2">
        <v>111.5</v>
      </c>
      <c r="B26" s="22" t="s">
        <v>56</v>
      </c>
      <c r="D26" s="27"/>
      <c r="E26" s="27"/>
      <c r="F26" s="27"/>
      <c r="G26" s="27"/>
      <c r="H26" s="27"/>
      <c r="I26" s="27"/>
      <c r="J26" s="27" t="s">
        <v>70</v>
      </c>
      <c r="K26" s="27"/>
      <c r="L26" s="27"/>
      <c r="M26" s="27"/>
      <c r="N26" s="27" t="s">
        <v>97</v>
      </c>
      <c r="O26" s="27" t="s">
        <v>88</v>
      </c>
      <c r="P26" s="27" t="s">
        <v>99</v>
      </c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</row>
    <row r="27" spans="1:45" x14ac:dyDescent="0.25">
      <c r="A27" s="2">
        <v>117.8</v>
      </c>
      <c r="B27" s="22" t="s">
        <v>57</v>
      </c>
      <c r="C27" s="22" t="s">
        <v>100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 t="s">
        <v>75</v>
      </c>
      <c r="O27" s="27"/>
      <c r="P27" s="27" t="s">
        <v>70</v>
      </c>
      <c r="Q27" s="27"/>
      <c r="R27" s="27" t="s">
        <v>92</v>
      </c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2"/>
      <c r="AK27" s="27"/>
      <c r="AL27" s="27"/>
      <c r="AM27" s="27"/>
      <c r="AN27" s="27"/>
      <c r="AO27" s="27"/>
      <c r="AP27" s="27"/>
      <c r="AQ27" s="27"/>
      <c r="AR27" s="27"/>
      <c r="AS27" s="27"/>
    </row>
    <row r="28" spans="1:45" x14ac:dyDescent="0.25">
      <c r="A28" s="2">
        <v>123.5</v>
      </c>
      <c r="B28" s="22" t="s">
        <v>50</v>
      </c>
      <c r="C28" s="22" t="s">
        <v>100</v>
      </c>
      <c r="D28" s="27"/>
      <c r="E28" s="27"/>
      <c r="F28" s="27"/>
      <c r="G28" s="27"/>
      <c r="H28" s="27"/>
      <c r="I28" s="27"/>
      <c r="J28" s="27"/>
      <c r="K28" s="27"/>
      <c r="L28" s="27" t="s">
        <v>69</v>
      </c>
      <c r="M28" s="27" t="s">
        <v>74</v>
      </c>
      <c r="N28" s="27"/>
      <c r="O28" s="27"/>
      <c r="P28" s="27"/>
      <c r="Q28" s="27"/>
      <c r="R28" s="27" t="s">
        <v>87</v>
      </c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</row>
    <row r="29" spans="1:45" x14ac:dyDescent="0.25">
      <c r="A29" s="2">
        <v>129.4</v>
      </c>
      <c r="B29" s="22" t="s">
        <v>58</v>
      </c>
      <c r="C29" s="22" t="s">
        <v>100</v>
      </c>
      <c r="D29" s="27"/>
      <c r="E29" s="27"/>
      <c r="F29" s="27"/>
      <c r="G29" s="27"/>
      <c r="H29" s="27" t="s">
        <v>92</v>
      </c>
      <c r="I29" s="27"/>
      <c r="J29" s="27"/>
      <c r="K29" s="27"/>
      <c r="L29" s="27" t="s">
        <v>72</v>
      </c>
      <c r="M29" s="27" t="s">
        <v>75</v>
      </c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</row>
    <row r="30" spans="1:45" x14ac:dyDescent="0.25">
      <c r="A30" s="2">
        <v>132.9</v>
      </c>
      <c r="B30" s="22" t="s">
        <v>168</v>
      </c>
      <c r="C30" s="22" t="s">
        <v>100</v>
      </c>
      <c r="D30" s="27"/>
      <c r="E30" s="27"/>
      <c r="F30" s="27"/>
      <c r="G30" s="27"/>
      <c r="H30" s="27" t="s">
        <v>99</v>
      </c>
      <c r="I30" s="27" t="s">
        <v>74</v>
      </c>
      <c r="J30" s="27"/>
      <c r="K30" s="27"/>
      <c r="L30" s="27" t="s">
        <v>70</v>
      </c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</row>
    <row r="31" spans="1:45" s="22" customFormat="1" x14ac:dyDescent="0.25">
      <c r="A31" s="2">
        <v>141.80000000000001</v>
      </c>
      <c r="B31" s="22" t="s">
        <v>169</v>
      </c>
      <c r="C31" s="22" t="s">
        <v>100</v>
      </c>
      <c r="D31" s="27" t="s">
        <v>69</v>
      </c>
      <c r="E31" s="27"/>
      <c r="F31" s="27"/>
      <c r="G31" s="27"/>
      <c r="H31" s="27" t="s">
        <v>87</v>
      </c>
      <c r="I31" s="27" t="s">
        <v>97</v>
      </c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</row>
    <row r="32" spans="1:45" s="22" customFormat="1" x14ac:dyDescent="0.25">
      <c r="A32" s="2">
        <v>145.1</v>
      </c>
      <c r="B32" s="22" t="s">
        <v>169</v>
      </c>
      <c r="D32" s="27" t="s">
        <v>99</v>
      </c>
      <c r="E32" s="27"/>
      <c r="F32" s="27"/>
      <c r="G32" s="27"/>
      <c r="H32" s="27"/>
      <c r="I32" s="27" t="s">
        <v>97</v>
      </c>
      <c r="J32" s="27" t="s">
        <v>93</v>
      </c>
      <c r="K32" s="27"/>
      <c r="L32" s="27"/>
      <c r="M32" s="27"/>
      <c r="N32" s="27"/>
      <c r="O32" s="27"/>
      <c r="P32" s="27" t="s">
        <v>69</v>
      </c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</row>
    <row r="33" spans="1:45" x14ac:dyDescent="0.25">
      <c r="A33" s="2">
        <v>147.69999999999999</v>
      </c>
      <c r="B33" s="22" t="s">
        <v>59</v>
      </c>
      <c r="D33" s="27" t="s">
        <v>87</v>
      </c>
      <c r="E33" s="27"/>
      <c r="F33" s="27"/>
      <c r="G33" s="27"/>
      <c r="H33" s="27"/>
      <c r="I33" s="27" t="s">
        <v>75</v>
      </c>
      <c r="J33" s="27" t="s">
        <v>127</v>
      </c>
      <c r="K33" s="27"/>
      <c r="L33" s="27"/>
      <c r="M33" s="27"/>
      <c r="N33" s="27"/>
      <c r="O33" s="27"/>
      <c r="P33" s="27" t="s">
        <v>72</v>
      </c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</row>
    <row r="34" spans="1:45" x14ac:dyDescent="0.25">
      <c r="A34" s="2">
        <v>153.69999999999999</v>
      </c>
      <c r="B34" s="22" t="s">
        <v>60</v>
      </c>
      <c r="C34" s="22" t="s">
        <v>91</v>
      </c>
      <c r="D34" s="27"/>
      <c r="E34" s="27"/>
      <c r="F34" s="27"/>
      <c r="G34" s="27" t="s">
        <v>74</v>
      </c>
      <c r="H34" s="27"/>
      <c r="I34" s="27"/>
      <c r="J34" s="27" t="s">
        <v>99</v>
      </c>
      <c r="K34" s="27"/>
      <c r="L34" s="27"/>
      <c r="M34" s="27"/>
      <c r="N34" s="27"/>
      <c r="O34" s="27"/>
      <c r="P34" s="27" t="s">
        <v>72</v>
      </c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</row>
    <row r="35" spans="1:45" x14ac:dyDescent="0.25">
      <c r="A35" s="2">
        <v>159.5</v>
      </c>
      <c r="B35" s="22" t="s">
        <v>60</v>
      </c>
      <c r="C35" s="22" t="s">
        <v>91</v>
      </c>
      <c r="D35" s="27"/>
      <c r="E35" s="27"/>
      <c r="F35" s="27"/>
      <c r="G35" s="27" t="s">
        <v>97</v>
      </c>
      <c r="H35" s="27"/>
      <c r="I35" s="27"/>
      <c r="J35" s="27" t="s">
        <v>87</v>
      </c>
      <c r="K35" s="27"/>
      <c r="L35" s="27"/>
      <c r="M35" s="27"/>
      <c r="N35" s="27"/>
      <c r="O35" s="27"/>
      <c r="P35" s="27" t="s">
        <v>72</v>
      </c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</row>
    <row r="36" spans="1:45" x14ac:dyDescent="0.25">
      <c r="A36" s="2">
        <v>160</v>
      </c>
      <c r="B36" s="22" t="s">
        <v>60</v>
      </c>
      <c r="C36" s="24" t="s">
        <v>151</v>
      </c>
      <c r="D36" s="27"/>
      <c r="E36" s="27"/>
      <c r="F36" s="27"/>
      <c r="G36" s="27" t="s">
        <v>97</v>
      </c>
      <c r="H36" s="27"/>
      <c r="I36" s="27"/>
      <c r="J36" s="27"/>
      <c r="K36" s="27"/>
      <c r="L36" s="27"/>
      <c r="M36" s="27"/>
      <c r="N36" s="27"/>
      <c r="O36" s="27"/>
      <c r="P36" s="27" t="s">
        <v>70</v>
      </c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32"/>
      <c r="AG36" s="32"/>
      <c r="AH36" s="32"/>
      <c r="AI36" s="32"/>
      <c r="AJ36" s="32" t="s">
        <v>93</v>
      </c>
      <c r="AK36" s="32" t="s">
        <v>92</v>
      </c>
      <c r="AL36" s="27"/>
      <c r="AM36" s="27"/>
      <c r="AN36" s="32"/>
      <c r="AO36" s="32"/>
      <c r="AP36" s="32"/>
      <c r="AQ36" s="32"/>
      <c r="AR36" s="27" t="s">
        <v>94</v>
      </c>
      <c r="AS36" s="27" t="s">
        <v>95</v>
      </c>
    </row>
    <row r="37" spans="1:45" x14ac:dyDescent="0.25">
      <c r="A37" s="2">
        <v>160.5</v>
      </c>
      <c r="B37" s="22" t="s">
        <v>172</v>
      </c>
      <c r="C37" s="22" t="s">
        <v>165</v>
      </c>
      <c r="D37" s="27"/>
      <c r="E37" s="27"/>
      <c r="F37" s="27"/>
      <c r="G37" s="27" t="s">
        <v>75</v>
      </c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 t="s">
        <v>69</v>
      </c>
      <c r="AG37" s="27" t="s">
        <v>92</v>
      </c>
      <c r="AH37" s="27"/>
      <c r="AI37" s="27"/>
      <c r="AJ37" s="27" t="s">
        <v>152</v>
      </c>
      <c r="AK37" s="27" t="s">
        <v>98</v>
      </c>
      <c r="AL37" s="27"/>
      <c r="AM37" s="27"/>
      <c r="AN37" s="27" t="s">
        <v>94</v>
      </c>
      <c r="AO37" s="27" t="s">
        <v>93</v>
      </c>
      <c r="AP37" s="27"/>
      <c r="AQ37" s="27"/>
      <c r="AR37" s="27" t="s">
        <v>153</v>
      </c>
      <c r="AS37" s="27" t="s">
        <v>149</v>
      </c>
    </row>
    <row r="38" spans="1:45" s="22" customFormat="1" x14ac:dyDescent="0.25">
      <c r="A38" s="2">
        <v>197.1</v>
      </c>
      <c r="B38" s="22" t="s">
        <v>173</v>
      </c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 t="s">
        <v>74</v>
      </c>
      <c r="AE38" s="27" t="s">
        <v>69</v>
      </c>
      <c r="AF38" s="32" t="s">
        <v>99</v>
      </c>
      <c r="AG38" s="32" t="s">
        <v>127</v>
      </c>
      <c r="AH38" s="32" t="s">
        <v>94</v>
      </c>
      <c r="AI38" s="32" t="s">
        <v>95</v>
      </c>
      <c r="AJ38" s="32" t="s">
        <v>157</v>
      </c>
      <c r="AK38" s="27" t="s">
        <v>156</v>
      </c>
      <c r="AL38" s="27" t="s">
        <v>96</v>
      </c>
      <c r="AM38" s="27" t="s">
        <v>160</v>
      </c>
      <c r="AN38" s="27" t="s">
        <v>153</v>
      </c>
      <c r="AO38" s="32" t="s">
        <v>152</v>
      </c>
      <c r="AP38" s="27" t="s">
        <v>158</v>
      </c>
      <c r="AQ38" s="27" t="s">
        <v>159</v>
      </c>
      <c r="AR38" s="27" t="s">
        <v>155</v>
      </c>
      <c r="AS38" s="27" t="s">
        <v>154</v>
      </c>
    </row>
    <row r="39" spans="1:45" x14ac:dyDescent="0.25">
      <c r="A39" s="2"/>
      <c r="B39" s="22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</row>
    <row r="40" spans="1:45" x14ac:dyDescent="0.25">
      <c r="A40" s="2"/>
      <c r="B40" s="22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</row>
    <row r="41" spans="1:45" x14ac:dyDescent="0.25">
      <c r="A41" s="2"/>
      <c r="B41" s="22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</row>
    <row r="42" spans="1:45" x14ac:dyDescent="0.25">
      <c r="A42" s="2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</row>
    <row r="43" spans="1:45" x14ac:dyDescent="0.25">
      <c r="A43" s="2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</row>
    <row r="44" spans="1:45" x14ac:dyDescent="0.25">
      <c r="A44" s="2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</row>
    <row r="45" spans="1:45" x14ac:dyDescent="0.25">
      <c r="A45" s="2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</row>
    <row r="46" spans="1:45" x14ac:dyDescent="0.25">
      <c r="A46" s="2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</row>
    <row r="47" spans="1:45" x14ac:dyDescent="0.25">
      <c r="A47" s="2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</row>
    <row r="48" spans="1:45" x14ac:dyDescent="0.25">
      <c r="A48" s="2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</row>
  </sheetData>
  <mergeCells count="2">
    <mergeCell ref="D7:Y7"/>
    <mergeCell ref="C7:C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fmpegTile">
                <anchor moveWithCells="1" sizeWithCells="1">
                  <from>
                    <xdr:col>22</xdr:col>
                    <xdr:colOff>142875</xdr:colOff>
                    <xdr:row>0</xdr:row>
                    <xdr:rowOff>104775</xdr:rowOff>
                  </from>
                  <to>
                    <xdr:col>24</xdr:col>
                    <xdr:colOff>485775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B49B-47FD-45EB-9FDA-672CCBB60735}">
  <sheetPr codeName="Sheet4"/>
  <dimension ref="B2:D21"/>
  <sheetViews>
    <sheetView workbookViewId="0">
      <selection activeCell="D8" sqref="D8"/>
    </sheetView>
  </sheetViews>
  <sheetFormatPr defaultRowHeight="15" x14ac:dyDescent="0.25"/>
  <cols>
    <col min="3" max="3" width="10.28515625" bestFit="1" customWidth="1"/>
  </cols>
  <sheetData>
    <row r="2" spans="2:4" x14ac:dyDescent="0.25">
      <c r="B2" t="s">
        <v>34</v>
      </c>
    </row>
    <row r="3" spans="2:4" x14ac:dyDescent="0.25">
      <c r="B3" t="s">
        <v>35</v>
      </c>
    </row>
    <row r="5" spans="2:4" x14ac:dyDescent="0.25">
      <c r="B5" t="s">
        <v>36</v>
      </c>
    </row>
    <row r="6" spans="2:4" x14ac:dyDescent="0.25">
      <c r="B6" t="s">
        <v>37</v>
      </c>
      <c r="C6" t="s">
        <v>38</v>
      </c>
      <c r="D6" t="s">
        <v>21</v>
      </c>
    </row>
    <row r="7" spans="2:4" x14ac:dyDescent="0.25">
      <c r="B7">
        <v>0.1</v>
      </c>
      <c r="C7" s="18">
        <v>44187</v>
      </c>
      <c r="D7" t="s">
        <v>195</v>
      </c>
    </row>
    <row r="10" spans="2:4" x14ac:dyDescent="0.25">
      <c r="B10" t="s">
        <v>46</v>
      </c>
    </row>
    <row r="11" spans="2:4" x14ac:dyDescent="0.25">
      <c r="C11" t="s">
        <v>47</v>
      </c>
    </row>
    <row r="12" spans="2:4" x14ac:dyDescent="0.25">
      <c r="C12" t="s">
        <v>48</v>
      </c>
    </row>
    <row r="15" spans="2:4" x14ac:dyDescent="0.25">
      <c r="B15" t="s">
        <v>39</v>
      </c>
    </row>
    <row r="16" spans="2:4" x14ac:dyDescent="0.25">
      <c r="B16">
        <v>1</v>
      </c>
      <c r="C16" t="s">
        <v>40</v>
      </c>
    </row>
    <row r="17" spans="2:4" x14ac:dyDescent="0.25">
      <c r="B17">
        <v>2</v>
      </c>
      <c r="C17" t="s">
        <v>41</v>
      </c>
    </row>
    <row r="18" spans="2:4" x14ac:dyDescent="0.25">
      <c r="B18">
        <v>3</v>
      </c>
      <c r="C18" t="s">
        <v>42</v>
      </c>
    </row>
    <row r="19" spans="2:4" x14ac:dyDescent="0.25">
      <c r="B19">
        <v>4</v>
      </c>
      <c r="C19" t="s">
        <v>43</v>
      </c>
    </row>
    <row r="20" spans="2:4" x14ac:dyDescent="0.25">
      <c r="D20" t="s">
        <v>44</v>
      </c>
    </row>
    <row r="21" spans="2:4" x14ac:dyDescent="0.25">
      <c r="B21">
        <v>5</v>
      </c>
      <c r="C21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E381B-D7EC-437E-BA71-285AFDB61C5B}">
  <sheetPr codeName="Sheet2"/>
  <dimension ref="A1:I20"/>
  <sheetViews>
    <sheetView workbookViewId="0">
      <selection activeCell="B7" sqref="B7"/>
    </sheetView>
  </sheetViews>
  <sheetFormatPr defaultRowHeight="15" x14ac:dyDescent="0.25"/>
  <cols>
    <col min="1" max="1" width="18.42578125" bestFit="1" customWidth="1"/>
    <col min="2" max="2" width="99.42578125" style="3" customWidth="1"/>
    <col min="3" max="3" width="54.28515625" style="23" customWidth="1"/>
  </cols>
  <sheetData>
    <row r="1" spans="1:9" x14ac:dyDescent="0.25">
      <c r="A1" s="7" t="s">
        <v>11</v>
      </c>
      <c r="B1" s="20" t="s">
        <v>194</v>
      </c>
      <c r="C1" s="23" t="s">
        <v>101</v>
      </c>
      <c r="D1" t="s">
        <v>12</v>
      </c>
      <c r="E1" s="19">
        <f>Main!F1</f>
        <v>1920</v>
      </c>
      <c r="F1" t="s">
        <v>13</v>
      </c>
      <c r="G1" s="19">
        <f>Main!H1</f>
        <v>1080</v>
      </c>
      <c r="H1" t="s">
        <v>49</v>
      </c>
      <c r="I1" s="19" t="str">
        <f>"scale="&amp;Main!$J$1&amp;":"&amp;Main!$L$1</f>
        <v>scale=1920:1080</v>
      </c>
    </row>
    <row r="2" spans="1:9" x14ac:dyDescent="0.25">
      <c r="A2" s="23">
        <v>0</v>
      </c>
      <c r="B2" s="22" t="str">
        <f>"[0:v]null[a];[a]"&amp; $I$1 &amp; "[vid]"</f>
        <v>[0:v]null[a];[a]scale=1920:1080[vid]</v>
      </c>
      <c r="C2" s="23" t="s">
        <v>102</v>
      </c>
    </row>
    <row r="3" spans="1:9" s="1" customFormat="1" x14ac:dyDescent="0.25">
      <c r="A3" s="24" t="s">
        <v>1</v>
      </c>
      <c r="B3" s="22" t="str">
        <f xml:space="preserve"> "[0:v]crop=w=" &amp; E1 / 2 &amp; "[a];[1:v]crop=w=" &amp; E1 / 2 &amp; "[b];[a][b]hstack=2[z];[z]"&amp;I1 &amp; "[Z];[2:v]" &amp; I1 &amp; "[grid];[Z][grid]overlay[vid]"</f>
        <v>[0:v]crop=w=960[a];[1:v]crop=w=960[b];[a][b]hstack=2[z];[z]scale=1920:1080[Z];[2:v]scale=1920:1080[grid];[Z][grid]overlay[vid]</v>
      </c>
      <c r="C3" s="24" t="s">
        <v>103</v>
      </c>
    </row>
    <row r="4" spans="1:9" s="1" customFormat="1" x14ac:dyDescent="0.25">
      <c r="A4" s="24" t="s">
        <v>2</v>
      </c>
      <c r="B4" s="22" t="str">
        <f>"[0:v]null[a];[1:v]null[b];[2:v]null[c];[a]crop=w="&amp;ROUND(E1/3,0)&amp;"[A];[b]crop=w="&amp;ROUND(E1/3,0)&amp;"[B];[c]crop=w="&amp;ROUND(E1/3,0)&amp;"[C];[A][B][C]hstack=3[z];[z]"&amp;I1&amp;"[v]"</f>
        <v>[0:v]null[a];[1:v]null[b];[2:v]null[c];[a]crop=w=640[A];[b]crop=w=640[B];[c]crop=w=640[C];[A][B][C]hstack=3[z];[z]scale=1920:1080[v]</v>
      </c>
      <c r="C4" s="24" t="s">
        <v>104</v>
      </c>
    </row>
    <row r="5" spans="1:9" s="1" customFormat="1" x14ac:dyDescent="0.25">
      <c r="A5" s="24" t="s">
        <v>10</v>
      </c>
      <c r="B5" s="22" t="str">
        <f>"[0:v]null[a];[1:v]null[b];[2:v]null[c];[3:v]null[d];[a][b]hstack=2[A];[c][d]hstack=2[B];[A][B]vstack=2[z];[z]" &amp; I1 &amp; "[Z];[4:v]" &amp; I1 &amp; "[grid];[Z][grid]overlay[vid]"</f>
        <v>[0:v]null[a];[1:v]null[b];[2:v]null[c];[3:v]null[d];[a][b]hstack=2[A];[c][d]hstack=2[B];[A][B]vstack=2[z];[z]scale=1920:1080[Z];[4:v]scale=1920:1080[grid];[Z][grid]overlay[vid]</v>
      </c>
      <c r="C5" s="24" t="s">
        <v>105</v>
      </c>
    </row>
    <row r="6" spans="1:9" s="1" customFormat="1" x14ac:dyDescent="0.25">
      <c r="A6" s="24" t="s">
        <v>19</v>
      </c>
      <c r="B6" s="22" t="str">
        <f>"[0:v]null[a];[1:v]null[b];[2:v]null[c];[3:v]null[d];[4:v]null[e];[5:v]null[f];[6:v]null[g];[7:v]null[h];[8:v]null[i];[a][b][c]hstack=3[A];[d][e][f]hstack=3[B];[g][h][i]hstack=3[C];[A][B][C]vstack=3[z];[z]" &amp; I1 &amp; "[v]"</f>
        <v>[0:v]null[a];[1:v]null[b];[2:v]null[c];[3:v]null[d];[4:v]null[e];[5:v]null[f];[6:v]null[g];[7:v]null[h];[8:v]null[i];[a][b][c]hstack=3[A];[d][e][f]hstack=3[B];[g][h][i]hstack=3[C];[A][B][C]vstack=3[z];[z]scale=1920:1080[v]</v>
      </c>
      <c r="C6" s="24" t="s">
        <v>106</v>
      </c>
    </row>
    <row r="7" spans="1:9" x14ac:dyDescent="0.25">
      <c r="A7" s="24" t="s">
        <v>14</v>
      </c>
      <c r="B7" s="22" t="str">
        <f xml:space="preserve"> "[0:v]null[a];[1:v]null[b];[2:v]null[c];[3:v]null[d];[4:v]null[e];[5:v]null[f];[6:v]null[g];[7:v]null[h];[8:v]null[i];[9:v]null[j];[10:v]null[k];[11:v]null[l];" &amp; "[a]crop=w="&amp;ROUND(E1*3/4,0)&amp;"[A];[b]crop=w="&amp;ROUND(E1*3/4,0)&amp;"[B];[c]crop=w="&amp;ROUND(E1*3/4,0)&amp;"[C];[d]crop=w="&amp;ROUND(E1*3/4,0)&amp;"[D];[e]crop=w="&amp;ROUND(E1*3/4,0)&amp;"[E];[f]crop=w="&amp;ROUND(E1*3/4,0)&amp;"[F];[g]crop=w="&amp;ROUND(E1*3/4,0)&amp;"[G];[h]crop=w="&amp;ROUND(E1*3/4,0)&amp;"[H];[i]crop=w="&amp;ROUND(E1*3/4,0)&amp;"[I];[j]crop=w="&amp;ROUND(E1*3/4,0)&amp;"[J];[k]crop=w="&amp;ROUND(E1*3/4,0)&amp;"[K];[l]crop=w="&amp;ROUND(E1*3/4,0)&amp;"[L];[A][B][C][D]hstack=4[abcd];[E][F][G][H]hstack=4[efgh];[I][J][K][L]hstack=4[ijkl];[abcd][efgh][ijkl]vstack=3[z];[12:v]"&amp;I1&amp;"[grid];[z]"&amp;I1 &amp; "[Z];[Z][grid]overlay[vid]"</f>
        <v>[0:v]null[a];[1:v]null[b];[2:v]null[c];[3:v]null[d];[4:v]null[e];[5:v]null[f];[6:v]null[g];[7:v]null[h];[8:v]null[i];[9:v]null[j];[10:v]null[k];[11:v]null[l];[a]crop=w=1440[A];[b]crop=w=1440[B];[c]crop=w=1440[C];[d]crop=w=1440[D];[e]crop=w=1440[E];[f]crop=w=1440[F];[g]crop=w=1440[G];[h]crop=w=1440[H];[i]crop=w=1440[I];[j]crop=w=1440[J];[k]crop=w=1440[K];[l]crop=w=1440[L];[A][B][C][D]hstack=4[abcd];[E][F][G][H]hstack=4[efgh];[I][J][K][L]hstack=4[ijkl];[abcd][efgh][ijkl]vstack=3[z];[12:v]scale=1920:1080[grid];[z]scale=1920:1080[Z];[Z][grid]overlay[vid]</v>
      </c>
      <c r="C7" s="24" t="s">
        <v>107</v>
      </c>
    </row>
    <row r="8" spans="1:9" x14ac:dyDescent="0.25">
      <c r="A8" s="24" t="s">
        <v>20</v>
      </c>
      <c r="B8" s="22" t="str">
        <f>"[0:v]null[a];[1:v]null[b];[2:v]null[c];[3:v]null[d];[4:v]null[e];[5:v]null[f];[6:v]null[g];[7:v]null[h];[8:v]null[i];[9:v]null[j];[10:v]null[k];[11:v]null[l];[12:v]null[m];[13:v]null[n];[14:v]null[o];[15:v]null[p];" &amp; "[a][b][c][d]hstack=4[A];[e][f][g][h]hstack=4[B];[i][j][k][l]hstack=4[C];[m][n][o][p]hstack=4[D];[A][B][C][D]vstack=4[z];[16:v]" &amp; I1 &amp; "[grid];[z]" &amp; I1 &amp; "[Z];[Z][grid]overlay[vid]"</f>
        <v>[0:v]null[a];[1:v]null[b];[2:v]null[c];[3:v]null[d];[4:v]null[e];[5:v]null[f];[6:v]null[g];[7:v]null[h];[8:v]null[i];[9:v]null[j];[10:v]null[k];[11:v]null[l];[12:v]null[m];[13:v]null[n];[14:v]null[o];[15:v]null[p];[a][b][c][d]hstack=4[A];[e][f][g][h]hstack=4[B];[i][j][k][l]hstack=4[C];[m][n][o][p]hstack=4[D];[A][B][C][D]vstack=4[z];[16:v]scale=1920:1080[grid];[z]scale=1920:1080[Z];[Z][grid]overlay[vid]</v>
      </c>
      <c r="C8" s="24" t="s">
        <v>108</v>
      </c>
    </row>
    <row r="9" spans="1:9" x14ac:dyDescent="0.25">
      <c r="A9" s="24" t="s">
        <v>91</v>
      </c>
      <c r="B9" s="3" t="str">
        <f>"[0:v]crop=w=" &amp; E1 / 2 &amp; "[a];[1:v]null[b];[2:v]null[c];[b][c]vstack=2[B];[B]scale=h="&amp;G1&amp;":w=-2[C];[a][C]hstack=2[z];[z]"&amp;I1&amp;"[Z];[3:v]" &amp; I1 &amp; "[grid];[Z][grid]overlay[vid]"</f>
        <v>[0:v]crop=w=960[a];[1:v]null[b];[2:v]null[c];[b][c]vstack=2[B];[B]scale=h=1080:w=-2[C];[a][C]hstack=2[z];[z]scale=1920:1080[Z];[3:v]scale=1920:1080[grid];[Z][grid]overlay[vid]</v>
      </c>
      <c r="C9" s="24" t="s">
        <v>109</v>
      </c>
    </row>
    <row r="10" spans="1:9" x14ac:dyDescent="0.25">
      <c r="A10" s="24" t="s">
        <v>100</v>
      </c>
      <c r="B10" s="3" t="str">
        <f>"[0:v]null[a];[1:v]null[b];[2:v]crop=w=" &amp; E1 / 2 &amp; "[c];[a][b]vstack=2[B];[B]scale=h="&amp;G1&amp;":w=-2[A];[A][c]hstack=2[z];[z]" &amp; I1 &amp; "[Z];[3:v]" &amp; I1 &amp; "[grid];[Z][grid]overlay[vid]"</f>
        <v>[0:v]null[a];[1:v]null[b];[2:v]crop=w=960[c];[a][b]vstack=2[B];[B]scale=h=1080:w=-2[A];[A][c]hstack=2[z];[z]scale=1920:1080[Z];[3:v]scale=1920:1080[grid];[Z][grid]overlay[vid]</v>
      </c>
      <c r="C10" s="24" t="s">
        <v>110</v>
      </c>
    </row>
    <row r="11" spans="1:9" x14ac:dyDescent="0.25">
      <c r="A11" s="24" t="s">
        <v>118</v>
      </c>
      <c r="B11" s="22" t="str">
        <f>"[0:v]null[a];[1:v]null[b];[2:v]null[c];[3:v]null[d];[4:v]null[e];[5:v]null[f];[6:v]null[g];" &amp; "[a][b]hstack=2[A];[c][d]hstack=2[B];[A][B]vstack=2[C];[C]scale=w="&amp;E1&amp;":h="&amp;G1&amp;"[D];[D][e]hstack=2[E];[f][g]hstack=2[F];[E][F]hstack=2[z];[16:v]" &amp; I1 &amp; "[grid];[z]" &amp; I1 &amp; "[Z];[Z][grid]overlay[vid]"</f>
        <v>[0:v]null[a];[1:v]null[b];[2:v]null[c];[3:v]null[d];[4:v]null[e];[5:v]null[f];[6:v]null[g];[a][b]hstack=2[A];[c][d]hstack=2[B];[A][B]vstack=2[C];[C]scale=w=1920:h=1080[D];[D][e]hstack=2[E];[f][g]hstack=2[F];[E][F]hstack=2[z];[16:v]scale=1920:1080[grid];[z]scale=1920:1080[Z];[Z][grid]overlay[vid]</v>
      </c>
      <c r="C11" s="23" t="s">
        <v>119</v>
      </c>
    </row>
    <row r="12" spans="1:9" x14ac:dyDescent="0.25">
      <c r="A12" s="24" t="s">
        <v>120</v>
      </c>
      <c r="B12" s="22" t="str">
        <f>"[0:v]null[a];[1:v]null[b];[2:v]null[c];[3:v]null[d];[4:v]null[e];[5:v]null[f];[6:v]null[g];" &amp; "[b][c]hstack=2[A];[d][e]hstack=2[B];[A][B]vstack=2[C];[C]scale=w="&amp;E1&amp;":h="&amp;G1&amp;"[D];[a][D]hstack=2[E];[f][g]hstack=2[F];[E][F]hstack=2[z];[16:v]" &amp; I1 &amp; "[grid];[z]" &amp; I1 &amp; "[Z];[Z][grid]overlay[vid]"</f>
        <v>[0:v]null[a];[1:v]null[b];[2:v]null[c];[3:v]null[d];[4:v]null[e];[5:v]null[f];[6:v]null[g];[b][c]hstack=2[A];[d][e]hstack=2[B];[A][B]vstack=2[C];[C]scale=w=1920:h=1080[D];[a][D]hstack=2[E];[f][g]hstack=2[F];[E][F]hstack=2[z];[16:v]scale=1920:1080[grid];[z]scale=1920:1080[Z];[Z][grid]overlay[vid]</v>
      </c>
      <c r="C12" s="23" t="s">
        <v>121</v>
      </c>
    </row>
    <row r="13" spans="1:9" x14ac:dyDescent="0.25">
      <c r="A13" s="24" t="s">
        <v>122</v>
      </c>
      <c r="B13" s="22" t="str">
        <f>"[0:v]null[a];[1:v]null[b];[2:v]null[c];[3:v]null[d];[4:v]null[e];[5:v]null[f];[6:v]null[g];" &amp; "[c][d]hstack=2[A];[e][f]hstack=2[B];[A][B]vstack=2[C];[C]scale=w="&amp;E1&amp;":h="&amp;G1&amp;"[D];[a][b]hstack=2[E];[C][g]hstack=2[F];[E][F]hstack=2[z];[16:v]" &amp; I1 &amp; "[grid];[z]" &amp; I1 &amp; "[Z];[Z][grid]overlay[vid]"</f>
        <v>[0:v]null[a];[1:v]null[b];[2:v]null[c];[3:v]null[d];[4:v]null[e];[5:v]null[f];[6:v]null[g];[c][d]hstack=2[A];[e][f]hstack=2[B];[A][B]vstack=2[C];[C]scale=w=1920:h=1080[D];[a][b]hstack=2[E];[C][g]hstack=2[F];[E][F]hstack=2[z];[16:v]scale=1920:1080[grid];[z]scale=1920:1080[Z];[Z][grid]overlay[vid]</v>
      </c>
      <c r="C13" s="23" t="s">
        <v>123</v>
      </c>
    </row>
    <row r="14" spans="1:9" x14ac:dyDescent="0.25">
      <c r="A14" s="24" t="s">
        <v>124</v>
      </c>
      <c r="B14" s="22" t="str">
        <f>"[0:v]null[a];[1:v]null[b];[2:v]null[c];[3:v]null[d];[4:v]null[e];[5:v]null[f];[6:v]null[g];" &amp; "[d][e]hstack=2[A];[f][g]hstack=2[B];[A][B]vstack=2[C];[C]scale=w="&amp;E1&amp;":h="&amp;G1&amp;"[D];[a][b]hstack=2[E];[c][D]hstack=2[F];[E][F]hstack=2[z];[16:v]" &amp; I1 &amp; "[grid];[z]" &amp; I1 &amp; "[Z];[Z][grid]overlay[vid]"</f>
        <v>[0:v]null[a];[1:v]null[b];[2:v]null[c];[3:v]null[d];[4:v]null[e];[5:v]null[f];[6:v]null[g];[d][e]hstack=2[A];[f][g]hstack=2[B];[A][B]vstack=2[C];[C]scale=w=1920:h=1080[D];[a][b]hstack=2[E];[c][D]hstack=2[F];[E][F]hstack=2[z];[16:v]scale=1920:1080[grid];[z]scale=1920:1080[Z];[Z][grid]overlay[vid]</v>
      </c>
      <c r="C14" s="23" t="s">
        <v>125</v>
      </c>
    </row>
    <row r="15" spans="1:9" x14ac:dyDescent="0.25">
      <c r="A15" s="24" t="s">
        <v>144</v>
      </c>
      <c r="B15" s="22" t="str">
        <f>"[0:v]null[a];[1:v]null[b];[2:v]null[c];[3:v]null[d];[4:v]null[e];[5:v]null[f];[6:v]null[g];[7:v]null[h];[8:v]null[i];[9:v]null[j];" &amp; "[a][b]hstack=2[A];[c][d]hstack=2[B];[A][B]vstack=2[C];[C]scale=w="&amp;E1&amp;":h="&amp;G1&amp;"[D];[D][e]hstack=2[E];[g][h]hstack=2[F];[i][j]hstack=2[G];[F][G]vstack=2[H];[H]scale=w="&amp;E1&amp;":h="&amp;G1&amp;"[I];[f][I]hstack=2[J];[E][J]vstack=2[z];[10:v]" &amp; I1 &amp; "[grid];[z]" &amp; I1 &amp; "[Z];[Z][grid]overlay[vid]"</f>
        <v>[0:v]null[a];[1:v]null[b];[2:v]null[c];[3:v]null[d];[4:v]null[e];[5:v]null[f];[6:v]null[g];[7:v]null[h];[8:v]null[i];[9:v]null[j];[a][b]hstack=2[A];[c][d]hstack=2[B];[A][B]vstack=2[C];[C]scale=w=1920:h=1080[D];[D][e]hstack=2[E];[g][h]hstack=2[F];[i][j]hstack=2[G];[F][G]vstack=2[H];[H]scale=w=1920:h=1080[I];[f][I]hstack=2[J];[E][J]vstack=2[z];[10:v]scale=1920:1080[grid];[z]scale=1920:1080[Z];[Z][grid]overlay[vid]</v>
      </c>
      <c r="C15" s="23" t="s">
        <v>145</v>
      </c>
    </row>
    <row r="16" spans="1:9" s="22" customFormat="1" x14ac:dyDescent="0.25">
      <c r="A16" s="24" t="s">
        <v>148</v>
      </c>
      <c r="B16" s="22" t="str">
        <f>"[0:v]null[a];[1:v]null[b];[2:v]null[c];[3:v]null[d];[4:v]null[e];[5:v]null[f];[6:v]null[g];[7:v]null[h];[8:v]null[i];[9:v]null[j];" &amp; "[b][c]hstack=2[A];[d][e]hstack=2[B];[A][B]vstack=2[C];[C]scale=w="&amp;E1&amp;":h="&amp;G1&amp;"[D];[a][D]hstack=2[E];[f][g]hstack=2[F];[h][i]hstack=2[G];[F][G]vstack=2[H];[H]scale=w="&amp;E1&amp;":h="&amp;G1&amp;"[I];[I][j]hstack=2[J];[E][J]vstack=2[z];[10:v]" &amp; I1 &amp; "[grid];[z]" &amp; I1 &amp; "[Z];[Z][grid]overlay[vid]"</f>
        <v>[0:v]null[a];[1:v]null[b];[2:v]null[c];[3:v]null[d];[4:v]null[e];[5:v]null[f];[6:v]null[g];[7:v]null[h];[8:v]null[i];[9:v]null[j];[b][c]hstack=2[A];[d][e]hstack=2[B];[A][B]vstack=2[C];[C]scale=w=1920:h=1080[D];[a][D]hstack=2[E];[f][g]hstack=2[F];[h][i]hstack=2[G];[F][G]vstack=2[H];[H]scale=w=1920:h=1080[I];[I][j]hstack=2[J];[E][J]vstack=2[z];[10:v]scale=1920:1080[grid];[z]scale=1920:1080[Z];[Z][grid]overlay[vid]</v>
      </c>
      <c r="C16" s="23" t="s">
        <v>145</v>
      </c>
    </row>
    <row r="17" spans="1:3" x14ac:dyDescent="0.25">
      <c r="A17" s="24" t="s">
        <v>151</v>
      </c>
      <c r="B17" s="22" t="str">
        <f>"[0:v]null[a];[1:v]null[b];[2:v]null[c];[3:v]null[d];[4:v]null[e];[5:v]null[f];" &amp; "[c][d]hstack=2[A];[e][f]hstack=2[B];[A][B]vstack=2[C];[C]scale=w="&amp;E1&amp;":h="&amp;G1&amp;"[D];[b][D]vstack=2[E];[E]scale=h="&amp;G1&amp;":w=-2[F];[a]crop=w=" &amp; E1 / 2 &amp; "[G];[G][F]hstack=2[z];[6:v]" &amp; I1 &amp; "[grid];[z]" &amp; I1 &amp; "[Z];[Z][grid]overlay[vid]"</f>
        <v>[0:v]null[a];[1:v]null[b];[2:v]null[c];[3:v]null[d];[4:v]null[e];[5:v]null[f];[c][d]hstack=2[A];[e][f]hstack=2[B];[A][B]vstack=2[C];[C]scale=w=1920:h=1080[D];[b][D]vstack=2[E];[E]scale=h=1080:w=-2[F];[a]crop=w=960[G];[G][F]hstack=2[z];[6:v]scale=1920:1080[grid];[z]scale=1920:1080[Z];[Z][grid]overlay[vid]</v>
      </c>
      <c r="C17" s="23" t="s">
        <v>150</v>
      </c>
    </row>
    <row r="18" spans="1:3" x14ac:dyDescent="0.25">
      <c r="A18" s="24" t="s">
        <v>161</v>
      </c>
      <c r="B18" s="22" t="str">
        <f>"[0:v]null[a];[1:v]null[b];[2:v]null[c];[3:v]null[d];[4:v]null[e];[5:v]null[f];[6:v]null[g];[7:v]null[h];[8:v]null[i];[9:v]null[j];" &amp; "[b][c]hstack=2[A];[d][e]hstack=2[B];[A][B]vstack=2[C];[C]scale=w="&amp;E1&amp;":h="&amp;G1&amp;"[D];[a][D]hstack=2[E];[g][h]hstack=2[F];[i][j]hstack=2[G];[F][G]vstack=2[H];[H]scale=w="&amp;E1&amp;":h="&amp;G1&amp;"[I];[j][I]hstack=2[J];[E][J]vstack=2[z];[10:v]" &amp; I1 &amp; "[grid];[z]" &amp; I1 &amp; "[Z];[Z][grid]overlay[vid]"</f>
        <v>[0:v]null[a];[1:v]null[b];[2:v]null[c];[3:v]null[d];[4:v]null[e];[5:v]null[f];[6:v]null[g];[7:v]null[h];[8:v]null[i];[9:v]null[j];[b][c]hstack=2[A];[d][e]hstack=2[B];[A][B]vstack=2[C];[C]scale=w=1920:h=1080[D];[a][D]hstack=2[E];[g][h]hstack=2[F];[i][j]hstack=2[G];[F][G]vstack=2[H];[H]scale=w=1920:h=1080[I];[j][I]hstack=2[J];[E][J]vstack=2[z];[10:v]scale=1920:1080[grid];[z]scale=1920:1080[Z];[Z][grid]overlay[vid]</v>
      </c>
      <c r="C18" s="23" t="s">
        <v>162</v>
      </c>
    </row>
    <row r="19" spans="1:3" x14ac:dyDescent="0.25">
      <c r="A19" s="24" t="s">
        <v>163</v>
      </c>
      <c r="B19" s="22" t="str">
        <f>"[0:v]null[a];[1:v]null[b];[2:v]null[c];[3:v]null[d];[4:v]null[e];[5:v]null[f];[6:v]null[g];[7:v]null[h];[8:v]null[i];[9:v]null[j];" &amp; "[a][b]hstack=2[A];[c][d]hstack=2[B];[A][B]vstack=2[C];[C]scale=w="&amp;E1&amp;":h="&amp;G1&amp;"[D];[D][e]hstack=2[E];[f][g]hstack=2[F];[h][i]hstack=2[G];[F][G]vstack=2[H];[H]scale=w="&amp;E1&amp;":h="&amp;G1&amp;"[I];[I][j]hstack=2[J];[E][J]vstack=2[z];[10:v]" &amp; I1 &amp; "[grid];[z]" &amp; I1 &amp; "[Z];[Z][grid]overlay[vid]"</f>
        <v>[0:v]null[a];[1:v]null[b];[2:v]null[c];[3:v]null[d];[4:v]null[e];[5:v]null[f];[6:v]null[g];[7:v]null[h];[8:v]null[i];[9:v]null[j];[a][b]hstack=2[A];[c][d]hstack=2[B];[A][B]vstack=2[C];[C]scale=w=1920:h=1080[D];[D][e]hstack=2[E];[f][g]hstack=2[F];[h][i]hstack=2[G];[F][G]vstack=2[H];[H]scale=w=1920:h=1080[I];[I][j]hstack=2[J];[E][J]vstack=2[z];[10:v]scale=1920:1080[grid];[z]scale=1920:1080[Z];[Z][grid]overlay[vid]</v>
      </c>
      <c r="C19" s="23" t="s">
        <v>164</v>
      </c>
    </row>
    <row r="20" spans="1:3" x14ac:dyDescent="0.25">
      <c r="A20" s="24" t="s">
        <v>165</v>
      </c>
      <c r="B20" s="22" t="str">
        <f>"[0:v]crop=w=" &amp; E1 / 2 &amp; "[a];[1:v]null[b];[2:v]null[c];[3:v]null[d];[4:v]null[e];[5:v]null[f];[6:v]null[g];[7:v]null[h];[8:v]null[i];" &amp; "[b][c]hstack=2[A];[d][e]hstack=2[B];[f][g]hstack=2[C];[h][i]hstack=2[D];[A][B][C][D]vstack=4[E];[E]scale=h="&amp;G1&amp;":w=-2[F];[a][F]hstack=2[z];[9:v]" &amp; I1 &amp; "[grid];[z]" &amp; I1 &amp; "[Z];[Z][grid]overlay[vid]"</f>
        <v>[0:v]crop=w=960[a];[1:v]null[b];[2:v]null[c];[3:v]null[d];[4:v]null[e];[5:v]null[f];[6:v]null[g];[7:v]null[h];[8:v]null[i];[b][c]hstack=2[A];[d][e]hstack=2[B];[f][g]hstack=2[C];[h][i]hstack=2[D];[A][B][C][D]vstack=4[E];[E]scale=h=1080:w=-2[F];[a][F]hstack=2[z];[9:v]scale=1920:1080[grid];[z]scale=1920:1080[Z];[Z][grid]overlay[vid]</v>
      </c>
      <c r="C20" s="23" t="s">
        <v>166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5688-D7A7-4AF8-9960-1443A98066D4}">
  <sheetPr codeName="Sheet3"/>
  <dimension ref="A1:J8"/>
  <sheetViews>
    <sheetView workbookViewId="0">
      <selection activeCell="B2" sqref="B2"/>
    </sheetView>
  </sheetViews>
  <sheetFormatPr defaultRowHeight="15" x14ac:dyDescent="0.25"/>
  <cols>
    <col min="1" max="1" width="11.85546875" style="23" customWidth="1"/>
  </cols>
  <sheetData>
    <row r="1" spans="1:10" s="22" customFormat="1" x14ac:dyDescent="0.25">
      <c r="A1" s="23" t="s">
        <v>73</v>
      </c>
      <c r="B1" s="22" t="s">
        <v>71</v>
      </c>
      <c r="C1" s="22" t="s">
        <v>186</v>
      </c>
    </row>
    <row r="2" spans="1:10" x14ac:dyDescent="0.25">
      <c r="A2" s="23" t="s">
        <v>17</v>
      </c>
      <c r="B2" t="s">
        <v>184</v>
      </c>
      <c r="C2" t="s">
        <v>185</v>
      </c>
      <c r="J2" t="s">
        <v>187</v>
      </c>
    </row>
    <row r="3" spans="1:10" x14ac:dyDescent="0.25">
      <c r="A3" s="23" t="s">
        <v>68</v>
      </c>
      <c r="B3" t="s">
        <v>176</v>
      </c>
      <c r="C3" t="s">
        <v>185</v>
      </c>
      <c r="I3" t="s">
        <v>188</v>
      </c>
    </row>
    <row r="4" spans="1:10" x14ac:dyDescent="0.25">
      <c r="I4" t="s">
        <v>189</v>
      </c>
    </row>
    <row r="5" spans="1:10" x14ac:dyDescent="0.25">
      <c r="I5" t="s">
        <v>190</v>
      </c>
    </row>
    <row r="6" spans="1:10" x14ac:dyDescent="0.25">
      <c r="I6" t="s">
        <v>191</v>
      </c>
    </row>
    <row r="7" spans="1:10" x14ac:dyDescent="0.25">
      <c r="I7" s="22" t="s">
        <v>192</v>
      </c>
    </row>
    <row r="8" spans="1:10" x14ac:dyDescent="0.25">
      <c r="I8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INSTRUCTIONS</vt:lpstr>
      <vt:lpstr>TileConfig</vt:lpstr>
      <vt:lpstr>CustomFilters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Tyler</cp:lastModifiedBy>
  <dcterms:created xsi:type="dcterms:W3CDTF">2020-12-12T22:27:14Z</dcterms:created>
  <dcterms:modified xsi:type="dcterms:W3CDTF">2020-12-22T15:28:38Z</dcterms:modified>
</cp:coreProperties>
</file>